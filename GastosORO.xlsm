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mc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F9" i="1" l="1"/>
  <c r="D9" i="1" s="1"/>
  <c r="F6" i="1"/>
  <c r="D6" i="1" s="1"/>
  <c r="F27" i="1" l="1"/>
  <c r="B27" i="1"/>
  <c r="B16" i="1"/>
  <c r="F8" i="1"/>
  <c r="F10" i="1"/>
  <c r="D10" i="1" s="1"/>
  <c r="F11" i="1"/>
  <c r="F12" i="1"/>
  <c r="D12" i="1" s="1"/>
  <c r="F13" i="1"/>
  <c r="D13" i="1" s="1"/>
  <c r="F7" i="1"/>
  <c r="D11" i="1"/>
  <c r="D8" i="1"/>
  <c r="D5" i="1"/>
  <c r="D7" i="1" l="1"/>
  <c r="F16" i="1"/>
  <c r="H12" i="1" s="1"/>
  <c r="D16" i="1"/>
</calcChain>
</file>

<file path=xl/sharedStrings.xml><?xml version="1.0" encoding="utf-8"?>
<sst xmlns="http://schemas.openxmlformats.org/spreadsheetml/2006/main" count="34" uniqueCount="29">
  <si>
    <t>Tarjeta Oro</t>
  </si>
  <si>
    <t>Gastos Personales</t>
  </si>
  <si>
    <t>Producto</t>
  </si>
  <si>
    <t>Precio</t>
  </si>
  <si>
    <t>Telcel</t>
  </si>
  <si>
    <t>Netflix</t>
  </si>
  <si>
    <t>Spotify</t>
  </si>
  <si>
    <t>SmartFit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</si>
  <si>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</si>
  <si>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</si>
  <si>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</si>
  <si>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</si>
  <si>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</si>
  <si>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</si>
  <si>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</si>
  <si>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TV</t>
  </si>
  <si>
    <t>FIFA17</t>
  </si>
  <si>
    <t>2Bufandas</t>
  </si>
  <si>
    <t>:(</t>
  </si>
  <si>
    <t>Tenis</t>
  </si>
  <si>
    <t>Meses restantes</t>
  </si>
  <si>
    <t>Total:</t>
  </si>
  <si>
    <t>OTROS</t>
  </si>
  <si>
    <t>TOTAL A PAGAR</t>
  </si>
  <si>
    <t>Refrigerador</t>
  </si>
  <si>
    <t>1/4 de kilo</t>
  </si>
  <si>
    <t>Cama</t>
  </si>
  <si>
    <t>CheesFactory</t>
  </si>
  <si>
    <t>Super Cosco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</si>
</sst>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workbookViewId="0">
      <selection activeCell="N16" sqref="N16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9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4" t="s">
        <v>8</v>
      </c>
      <c r="B3" s="35"/>
      <c r="C3" s="35"/>
      <c r="D3" s="35"/>
      <c r="E3" s="35"/>
      <c r="F3" s="36"/>
      <c r="G3" s="17"/>
      <c r="H3" s="17"/>
      <c r="I3" s="17"/>
      <c r="J3" s="18"/>
    </row>
    <row r="4" spans="1:10" x14ac:dyDescent="0.25">
      <c r="A4" s="19" t="s">
        <v>2</v>
      </c>
      <c r="B4" s="1" t="s">
        <v>9</v>
      </c>
      <c r="C4" s="1" t="s">
        <v>10</v>
      </c>
      <c r="D4" s="1" t="s">
        <v>11</v>
      </c>
      <c r="E4" s="1" t="s">
        <v>20</v>
      </c>
      <c r="F4" s="1" t="s">
        <v>12</v>
      </c>
      <c r="G4" s="17"/>
      <c r="H4" s="17"/>
      <c r="I4" s="17"/>
      <c r="J4" s="18"/>
    </row>
    <row r="5" spans="1:10" x14ac:dyDescent="0.25">
      <c r="A5" s="20" t="s">
        <v>18</v>
      </c>
      <c r="B5" s="5">
        <v>16000</v>
      </c>
      <c r="C5" s="5">
        <v>24</v>
      </c>
      <c r="D5" s="5">
        <f>E5*F5</f>
        <v>19500.8</v>
      </c>
      <c r="E5" s="5">
        <v>22</v>
      </c>
      <c r="F5" s="5">
        <v>886.4</v>
      </c>
      <c r="G5" s="17"/>
      <c r="H5" s="17"/>
      <c r="I5" s="17"/>
      <c r="J5" s="18"/>
    </row>
    <row r="6" spans="1:10" x14ac:dyDescent="0.25">
      <c r="A6" s="26" t="s">
        <v>26</v>
      </c>
      <c r="B6" s="5">
        <v>6000</v>
      </c>
      <c r="C6" s="5">
        <v>12</v>
      </c>
      <c r="D6" s="5">
        <f>E6*F6</f>
        <v>6000</v>
      </c>
      <c r="E6" s="5">
        <v>12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13</v>
      </c>
      <c r="B7" s="5">
        <v>2004</v>
      </c>
      <c r="C7" s="5">
        <v>12</v>
      </c>
      <c r="D7" s="5">
        <f>E7*F7</f>
        <v>1336</v>
      </c>
      <c r="E7" s="5">
        <v>8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14</v>
      </c>
      <c r="B8" s="5">
        <v>3756</v>
      </c>
      <c r="C8" s="5">
        <v>12</v>
      </c>
      <c r="D8" s="5">
        <f t="shared" ref="D8:D13" si="0">E8*F8</f>
        <v>2504</v>
      </c>
      <c r="E8" s="5">
        <v>8</v>
      </c>
      <c r="F8" s="5">
        <f t="shared" ref="F8:F13" si="1">B8/C8</f>
        <v>313</v>
      </c>
      <c r="G8" s="17"/>
      <c r="H8" s="17"/>
      <c r="I8" s="17"/>
      <c r="J8" s="18"/>
    </row>
    <row r="9" spans="1:10" x14ac:dyDescent="0.25">
      <c r="A9" s="26" t="s">
        <v>24</v>
      </c>
      <c r="B9" s="5">
        <v>11623</v>
      </c>
      <c r="C9" s="5">
        <v>6</v>
      </c>
      <c r="D9" s="5">
        <f t="shared" si="0"/>
        <v>11623</v>
      </c>
      <c r="E9" s="5">
        <v>6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0" t="s">
        <v>15</v>
      </c>
      <c r="B10" s="5">
        <v>10788</v>
      </c>
      <c r="C10" s="5">
        <v>12</v>
      </c>
      <c r="D10" s="5">
        <f t="shared" si="0"/>
        <v>2697</v>
      </c>
      <c r="E10" s="5">
        <v>3</v>
      </c>
      <c r="F10" s="5">
        <f t="shared" si="1"/>
        <v>899</v>
      </c>
      <c r="G10" s="17"/>
      <c r="H10" s="30" t="s">
        <v>23</v>
      </c>
      <c r="I10" s="30"/>
      <c r="J10" s="31"/>
    </row>
    <row r="11" spans="1:10" x14ac:dyDescent="0.25">
      <c r="A11" s="20" t="s">
        <v>16</v>
      </c>
      <c r="B11" s="5">
        <v>1000</v>
      </c>
      <c r="C11" s="5">
        <v>6</v>
      </c>
      <c r="D11" s="5">
        <f t="shared" si="0"/>
        <v>333.33333333333331</v>
      </c>
      <c r="E11" s="5">
        <v>2</v>
      </c>
      <c r="F11" s="5">
        <f t="shared" si="1"/>
        <v>166.66666666666666</v>
      </c>
      <c r="G11" s="17"/>
      <c r="H11" s="30"/>
      <c r="I11" s="30"/>
      <c r="J11" s="31"/>
    </row>
    <row r="12" spans="1:10" x14ac:dyDescent="0.25">
      <c r="A12" s="20" t="s">
        <v>17</v>
      </c>
      <c r="B12" s="5">
        <v>984</v>
      </c>
      <c r="C12" s="5">
        <v>6</v>
      </c>
      <c r="D12" s="5">
        <f t="shared" si="0"/>
        <v>328</v>
      </c>
      <c r="E12" s="5">
        <v>2</v>
      </c>
      <c r="F12" s="5">
        <f t="shared" si="1"/>
        <v>164</v>
      </c>
      <c r="G12" s="17"/>
      <c r="H12" s="32">
        <f>F16+B27+F27</f>
        <v>7447.8666666666668</v>
      </c>
      <c r="I12" s="32"/>
      <c r="J12" s="33"/>
    </row>
    <row r="13" spans="1:10" x14ac:dyDescent="0.25">
      <c r="A13" s="20" t="s">
        <v>19</v>
      </c>
      <c r="B13" s="5">
        <v>1150</v>
      </c>
      <c r="C13" s="5">
        <v>3</v>
      </c>
      <c r="D13" s="5">
        <f t="shared" si="0"/>
        <v>383.33333333333331</v>
      </c>
      <c r="E13" s="5">
        <v>1</v>
      </c>
      <c r="F13" s="5">
        <f t="shared" si="1"/>
        <v>383.33333333333331</v>
      </c>
      <c r="G13" s="17"/>
      <c r="H13" s="32"/>
      <c r="I13" s="32"/>
      <c r="J13" s="33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21</v>
      </c>
      <c r="B16" s="4">
        <f>SUM(B5:B15)</f>
        <v>53305</v>
      </c>
      <c r="C16" s="6"/>
      <c r="D16" s="4">
        <f>SUM(D5:D15)</f>
        <v>44705.466666666674</v>
      </c>
      <c r="E16" s="6"/>
      <c r="F16" s="4">
        <f>SUM(F5:F15)</f>
        <v>5416.5666666666666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28" t="s">
        <v>1</v>
      </c>
      <c r="B18" s="29"/>
      <c r="C18" s="17"/>
      <c r="D18" s="21"/>
      <c r="E18" s="28" t="s">
        <v>22</v>
      </c>
      <c r="F18" s="29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25</v>
      </c>
      <c r="F20" s="11">
        <v>127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 t="s">
        <v>27</v>
      </c>
      <c r="F21" s="13">
        <v>168.3</v>
      </c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 t="s">
        <v>28</v>
      </c>
      <c r="F22" s="13">
        <v>640</v>
      </c>
      <c r="G22" s="17"/>
      <c r="H22" s="17"/>
      <c r="I22" s="17"/>
      <c r="J22" s="18"/>
    </row>
    <row r="23" spans="1:10" x14ac:dyDescent="0.25">
      <c r="A23" s="12" t="s">
        <v>7</v>
      </c>
      <c r="B23" s="13">
        <v>499</v>
      </c>
      <c r="C23" s="17"/>
      <c r="D23" s="17"/>
      <c r="E23" s="25"/>
      <c r="F23" s="13"/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12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21</v>
      </c>
      <c r="B27" s="9">
        <f>SUM(B20:B26)</f>
        <v>1096</v>
      </c>
      <c r="C27" s="17"/>
      <c r="D27" s="17"/>
      <c r="E27" s="4" t="s">
        <v>21</v>
      </c>
      <c r="F27" s="4">
        <f>SUM(F20:F26)</f>
        <v>935.3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Fill="0" autoLine="0" r:id="rId5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lastModifiedBy>PLQ5835</cp:lastModifiedBy>
  <dcterms:created xsi:type="dcterms:W3CDTF">2017-03-06T17:58:56Z</dcterms:created>
  <dcterms:modified xsi:type="dcterms:W3CDTF">2017-04-26T14:20:50Z</dcterms:modified>
</cp:coreProperties>
</file>